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  <sheet name="📊 Dashboard" sheetId="2" state="visible" r:id="rId2"/>
    <sheet name="🎙️ Guion + Mensajes" sheetId="3" state="visible" r:id="rId3"/>
    <sheet name="📈 Métricas diarias" sheetId="4" state="visible" r:id="rId4"/>
    <sheet name="📚 Cómo crecer el CRM" sheetId="5" state="visible" r:id="rId5"/>
  </sheets>
  <definedNames>
    <definedName name="_xlnm._FilterDatabase" localSheetId="0" hidden="1">'Prospectos'!$A$1:$S$1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D &quot;#,##0"/>
    <numFmt numFmtId="165" formatCode="yyyy-mm-dd"/>
    <numFmt numFmtId="166" formatCode="DD/MM/YYYY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A580C"/>
      <sz val="16"/>
    </font>
    <font>
      <b val="1"/>
      <sz val="12"/>
    </font>
    <font>
      <b val="1"/>
      <color rgb="00EA580C"/>
      <sz val="18"/>
    </font>
    <font>
      <sz val="11"/>
    </font>
    <font>
      <b val="1"/>
      <sz val="13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b val="1"/>
      <sz val="14"/>
    </font>
    <font>
      <name val="Arial"/>
      <sz val="12"/>
    </font>
    <font>
      <b val="1"/>
    </font>
    <font>
      <b val="1"/>
      <i val="1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ECACA"/>
      </patternFill>
    </fill>
    <fill>
      <patternFill patternType="solid">
        <fgColor rgb="00FEF08A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9" fontId="0" fillId="0" borderId="0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BBFABB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EF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6" customWidth="1" min="4" max="4"/>
    <col width="24" customWidth="1" min="5" max="5"/>
    <col width="22" customWidth="1" min="6" max="6"/>
    <col width="16" customWidth="1" min="7" max="7"/>
    <col width="18" customWidth="1" min="8" max="8"/>
    <col width="36" customWidth="1" min="9" max="9"/>
    <col width="40" customWidth="1" min="10" max="10"/>
    <col width="30" customWidth="1" min="11" max="11"/>
    <col width="16" customWidth="1" min="12" max="12"/>
    <col width="18" customWidth="1" min="13" max="13"/>
    <col width="18" customWidth="1" min="14" max="14"/>
    <col width="14" customWidth="1" min="15" max="15"/>
    <col width="18" customWidth="1" min="16" max="16"/>
    <col width="16" customWidth="1" min="17" max="17"/>
    <col width="12" customWidth="1" min="18" max="18"/>
    <col width="30" customWidth="1" min="19" max="19"/>
  </cols>
  <sheetData>
    <row r="1" ht="32" customHeight="1">
      <c r="A1" s="1" t="inlineStr">
        <is>
          <t>ID</t>
        </is>
      </c>
      <c r="B1" s="1" t="inlineStr">
        <is>
          <t>🔥 Prioridad</t>
        </is>
      </c>
      <c r="C1" s="1" t="inlineStr">
        <is>
          <t>Score</t>
        </is>
      </c>
      <c r="D1" s="1" t="inlineStr">
        <is>
          <t>Nombre</t>
        </is>
      </c>
      <c r="E1" s="1" t="inlineStr">
        <is>
          <t>Especialidad</t>
        </is>
      </c>
      <c r="F1" s="1" t="inlineStr">
        <is>
          <t>Ciudad / Barrio</t>
        </is>
      </c>
      <c r="G1" s="1" t="inlineStr">
        <is>
          <t>Teléfono</t>
        </is>
      </c>
      <c r="H1" s="1" t="inlineStr">
        <is>
          <t>Instagram</t>
        </is>
      </c>
      <c r="I1" s="1" t="inlineStr">
        <is>
          <t>WhatsApp (link)</t>
        </is>
      </c>
      <c r="J1" s="1" t="inlineStr">
        <is>
          <t>URL Perfil</t>
        </is>
      </c>
      <c r="K1" s="1" t="inlineStr">
        <is>
          <t>Notas iniciales</t>
        </is>
      </c>
      <c r="L1" s="1" t="inlineStr">
        <is>
          <t>📞 Fecha Llamada 1</t>
        </is>
      </c>
      <c r="M1" s="1" t="inlineStr">
        <is>
          <t>Estado Llamada 1</t>
        </is>
      </c>
      <c r="N1" s="1" t="inlineStr">
        <is>
          <t>📲 Fecha Demo enviada</t>
        </is>
      </c>
      <c r="O1" s="1" t="inlineStr">
        <is>
          <t>👀 Probó la demo?</t>
        </is>
      </c>
      <c r="P1" s="1" t="inlineStr">
        <is>
          <t>🚦 Señal de interés</t>
        </is>
      </c>
      <c r="Q1" s="1" t="inlineStr">
        <is>
          <t>📞 Fecha Llamada 2</t>
        </is>
      </c>
      <c r="R1" s="1" t="inlineStr">
        <is>
          <t>💰 Cerrado?</t>
        </is>
      </c>
      <c r="S1" s="1" t="inlineStr">
        <is>
          <t>Notas</t>
        </is>
      </c>
    </row>
    <row r="2">
      <c r="A2" s="2" t="n">
        <v>1</v>
      </c>
      <c r="B2" s="3" t="inlineStr">
        <is>
          <t>🔥 HOT</t>
        </is>
      </c>
      <c r="C2" s="2" t="n">
        <v>8</v>
      </c>
      <c r="D2" s="2" t="inlineStr">
        <is>
          <t>Lic. María Constanza Alaye</t>
        </is>
      </c>
      <c r="E2" s="2" t="inlineStr">
        <is>
          <t>Psicología clínica / EMDR</t>
        </is>
      </c>
      <c r="F2" s="2" t="inlineStr">
        <is>
          <t>Córdoba Capital</t>
        </is>
      </c>
      <c r="G2" s="2" t="inlineStr">
        <is>
          <t>3512308121</t>
        </is>
      </c>
      <c r="H2" s="2" t="inlineStr"/>
      <c r="I2" s="2" t="inlineStr">
        <is>
          <t>https://wa.me/543512308121</t>
        </is>
      </c>
      <c r="J2" s="2" t="inlineStr">
        <is>
          <t>https://www.doctoraliar.com/maria-constanza-alaye/psicologo/cordoba-capital</t>
        </is>
      </c>
      <c r="K2" s="2" t="inlineStr">
        <is>
          <t>114 reseñas Doctoralia. Red Cales.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n">
        <v>2</v>
      </c>
      <c r="B3" s="3" t="inlineStr">
        <is>
          <t>🔥 HOT</t>
        </is>
      </c>
      <c r="C3" s="2" t="n">
        <v>8</v>
      </c>
      <c r="D3" s="2" t="inlineStr">
        <is>
          <t>Lic. Vilma Barrios</t>
        </is>
      </c>
      <c r="E3" s="2" t="inlineStr">
        <is>
          <t>Psicoanálisis / Clínica</t>
        </is>
      </c>
      <c r="F3" s="2" t="inlineStr">
        <is>
          <t>Córdoba Capital</t>
        </is>
      </c>
      <c r="G3" s="2" t="inlineStr">
        <is>
          <t>3512308121</t>
        </is>
      </c>
      <c r="H3" s="2" t="inlineStr"/>
      <c r="I3" s="2" t="inlineStr">
        <is>
          <t>https://wa.me/543512308121</t>
        </is>
      </c>
      <c r="J3" s="2" t="inlineStr">
        <is>
          <t>https://www.doctoraliar.com/vilma-barrios/psicologo/cordoba-capital</t>
        </is>
      </c>
      <c r="K3" s="2" t="inlineStr">
        <is>
          <t>48 reseñas. Red Cales.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n">
        <v>3</v>
      </c>
      <c r="B4" s="3" t="inlineStr">
        <is>
          <t>🔥 HOT</t>
        </is>
      </c>
      <c r="C4" s="2" t="n">
        <v>8</v>
      </c>
      <c r="D4" s="2" t="inlineStr">
        <is>
          <t>Lic. Araceli Mañanes</t>
        </is>
      </c>
      <c r="E4" s="2" t="inlineStr">
        <is>
          <t>Psicología clínica</t>
        </is>
      </c>
      <c r="F4" s="2" t="inlineStr">
        <is>
          <t>Córdoba Capital</t>
        </is>
      </c>
      <c r="G4" s="2" t="inlineStr">
        <is>
          <t>3512308121</t>
        </is>
      </c>
      <c r="H4" s="2" t="inlineStr"/>
      <c r="I4" s="2" t="inlineStr">
        <is>
          <t>https://wa.me/543512308121</t>
        </is>
      </c>
      <c r="J4" s="2" t="inlineStr">
        <is>
          <t>https://www.doctoraliar.com/araceli-mananes/psicologo/cordoba-capital</t>
        </is>
      </c>
      <c r="K4" s="2" t="inlineStr">
        <is>
          <t>38 reseñas. Red Cales.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n">
        <v>4</v>
      </c>
      <c r="B5" s="3" t="inlineStr">
        <is>
          <t>🔥 HOT</t>
        </is>
      </c>
      <c r="C5" s="2" t="n">
        <v>8</v>
      </c>
      <c r="D5" s="2" t="inlineStr">
        <is>
          <t>Lic. Silvina Jimenez</t>
        </is>
      </c>
      <c r="E5" s="2" t="inlineStr">
        <is>
          <t>Psicoanálisis / Clínica</t>
        </is>
      </c>
      <c r="F5" s="2" t="inlineStr">
        <is>
          <t>Córdoba Capital</t>
        </is>
      </c>
      <c r="G5" s="2" t="inlineStr">
        <is>
          <t>3512308121</t>
        </is>
      </c>
      <c r="H5" s="2" t="inlineStr"/>
      <c r="I5" s="2" t="inlineStr">
        <is>
          <t>https://wa.me/543512308121</t>
        </is>
      </c>
      <c r="J5" s="2" t="inlineStr">
        <is>
          <t>https://www.doctoraliar.com/silvina-jimenez/psicologo/cordoba-capital</t>
        </is>
      </c>
      <c r="K5" s="2" t="inlineStr">
        <is>
          <t>36 reseñas. Red Cales.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n">
        <v>5</v>
      </c>
      <c r="B6" s="3" t="inlineStr">
        <is>
          <t>🔥 HOT</t>
        </is>
      </c>
      <c r="C6" s="2" t="n">
        <v>8</v>
      </c>
      <c r="D6" s="2" t="inlineStr">
        <is>
          <t>Lic. Magalí Langone</t>
        </is>
      </c>
      <c r="E6" s="2" t="inlineStr">
        <is>
          <t>Gestalt / Clínica</t>
        </is>
      </c>
      <c r="F6" s="2" t="inlineStr">
        <is>
          <t>Córdoba Capital</t>
        </is>
      </c>
      <c r="G6" s="2" t="inlineStr">
        <is>
          <t>3512308121</t>
        </is>
      </c>
      <c r="H6" s="2" t="inlineStr"/>
      <c r="I6" s="2" t="inlineStr">
        <is>
          <t>https://wa.me/543512308121</t>
        </is>
      </c>
      <c r="J6" s="2" t="inlineStr">
        <is>
          <t>https://www.doctoraliar.com/magali-langone/psicologo/cordoba-capital</t>
        </is>
      </c>
      <c r="K6" s="2" t="inlineStr">
        <is>
          <t>26 reseñas. Red Cales.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n">
        <v>6</v>
      </c>
      <c r="B7" s="4" t="inlineStr">
        <is>
          <t>⚡ WARM</t>
        </is>
      </c>
      <c r="C7" s="2" t="n">
        <v>7</v>
      </c>
      <c r="D7" s="2" t="inlineStr">
        <is>
          <t>Lic. Daniela Agüero</t>
        </is>
      </c>
      <c r="E7" s="2" t="inlineStr">
        <is>
          <t>Psicoanálisis</t>
        </is>
      </c>
      <c r="F7" s="2" t="inlineStr">
        <is>
          <t>Córdoba Capital</t>
        </is>
      </c>
      <c r="G7" s="2" t="inlineStr">
        <is>
          <t>3512308121</t>
        </is>
      </c>
      <c r="H7" s="2" t="inlineStr"/>
      <c r="I7" s="2" t="inlineStr">
        <is>
          <t>https://wa.me/543512308121</t>
        </is>
      </c>
      <c r="J7" s="2" t="inlineStr">
        <is>
          <t>https://www.doctoraliar.com/daniela-aguero/psicologo/cordoba-capital</t>
        </is>
      </c>
      <c r="K7" s="2" t="inlineStr">
        <is>
          <t>23 reseñas. Red Cales.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n">
        <v>7</v>
      </c>
      <c r="B8" s="4" t="inlineStr">
        <is>
          <t>⚡ WARM</t>
        </is>
      </c>
      <c r="C8" s="2" t="n">
        <v>7</v>
      </c>
      <c r="D8" s="2" t="inlineStr">
        <is>
          <t>Lic. Gonzalo Shalom</t>
        </is>
      </c>
      <c r="E8" s="2" t="inlineStr">
        <is>
          <t>Psicología clínica (UBA)</t>
        </is>
      </c>
      <c r="F8" s="2" t="inlineStr">
        <is>
          <t>Palermo, CABA</t>
        </is>
      </c>
      <c r="G8" s="2" t="inlineStr"/>
      <c r="H8" s="2" t="inlineStr"/>
      <c r="I8" s="2" t="inlineStr"/>
      <c r="J8" s="2" t="inlineStr">
        <is>
          <t>https://www.mundopsicologos.com.ar/centros/lic-gonzalo-shalom</t>
        </is>
      </c>
      <c r="K8" s="2" t="inlineStr">
        <is>
          <t>MN 70833. Presencial y online.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n">
        <v>8</v>
      </c>
      <c r="B9" s="4" t="inlineStr">
        <is>
          <t>⚡ WARM</t>
        </is>
      </c>
      <c r="C9" s="2" t="n">
        <v>7</v>
      </c>
      <c r="D9" s="2" t="inlineStr">
        <is>
          <t>Lic. Martina Michelini</t>
        </is>
      </c>
      <c r="E9" s="2" t="inlineStr">
        <is>
          <t>TCC / Autoestima</t>
        </is>
      </c>
      <c r="F9" s="2" t="inlineStr">
        <is>
          <t>Palermo, CABA</t>
        </is>
      </c>
      <c r="G9" s="2" t="inlineStr"/>
      <c r="H9" s="2" t="inlineStr"/>
      <c r="I9" s="2" t="inlineStr"/>
      <c r="J9" s="2" t="inlineStr">
        <is>
          <t>https://www.mundopsicologos.com.ar/centros/lic-martina-michelini</t>
        </is>
      </c>
      <c r="K9" s="2" t="inlineStr">
        <is>
          <t>Presencial y online.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n">
        <v>9</v>
      </c>
      <c r="B10" s="4" t="inlineStr">
        <is>
          <t>⚡ WARM</t>
        </is>
      </c>
      <c r="C10" s="2" t="n">
        <v>7</v>
      </c>
      <c r="D10" s="2" t="inlineStr">
        <is>
          <t>Lic. Carolina Ramos</t>
        </is>
      </c>
      <c r="E10" s="2" t="inlineStr">
        <is>
          <t>TCC / Terapia pareja</t>
        </is>
      </c>
      <c r="F10" s="2" t="inlineStr">
        <is>
          <t>Belgrano, CABA</t>
        </is>
      </c>
      <c r="G10" s="2" t="inlineStr"/>
      <c r="H10" s="2" t="inlineStr"/>
      <c r="I10" s="2" t="inlineStr"/>
      <c r="J10" s="2" t="inlineStr">
        <is>
          <t>https://www.mundopsicologos.com.ar/centros/lic-carolina-ramos</t>
        </is>
      </c>
      <c r="K10" s="2" t="inlineStr">
        <is>
          <t>Jose Hernandez 1955. Online.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n">
        <v>10</v>
      </c>
      <c r="B11" s="4" t="inlineStr">
        <is>
          <t>⚡ WARM</t>
        </is>
      </c>
      <c r="C11" s="2" t="n">
        <v>6</v>
      </c>
      <c r="D11" s="2" t="inlineStr">
        <is>
          <t>Lic. Daniela Sommer</t>
        </is>
      </c>
      <c r="E11" s="2" t="inlineStr">
        <is>
          <t>Psicología clínica</t>
        </is>
      </c>
      <c r="F11" s="2" t="inlineStr">
        <is>
          <t>Cerro de las Rosas, CBA</t>
        </is>
      </c>
      <c r="G11" s="2" t="inlineStr">
        <is>
          <t>3512308121</t>
        </is>
      </c>
      <c r="H11" s="2" t="inlineStr"/>
      <c r="I11" s="2" t="inlineStr">
        <is>
          <t>https://wa.me/543512308121</t>
        </is>
      </c>
      <c r="J11" s="2" t="inlineStr">
        <is>
          <t>https://cales.com.ar/profesional/lic-daniela-soledad-sommer/</t>
        </is>
      </c>
      <c r="K11" s="2" t="inlineStr">
        <is>
          <t>Red Cales WA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n">
        <v>11</v>
      </c>
      <c r="B12" s="4" t="inlineStr">
        <is>
          <t>⚡ WARM</t>
        </is>
      </c>
      <c r="C12" s="2" t="n">
        <v>6</v>
      </c>
      <c r="D12" s="2" t="inlineStr">
        <is>
          <t>Lic. Martina Nobile Giusto</t>
        </is>
      </c>
      <c r="E12" s="2" t="inlineStr">
        <is>
          <t>Psicología clínica</t>
        </is>
      </c>
      <c r="F12" s="2" t="inlineStr">
        <is>
          <t>Cerro de las Rosas, CBA</t>
        </is>
      </c>
      <c r="G12" s="2" t="inlineStr">
        <is>
          <t>3512308121</t>
        </is>
      </c>
      <c r="H12" s="2" t="inlineStr"/>
      <c r="I12" s="2" t="inlineStr">
        <is>
          <t>https://wa.me/543512308121</t>
        </is>
      </c>
      <c r="J12" s="2" t="inlineStr">
        <is>
          <t>https://cales.com.ar/profesional/lic-martina-nobile-giusto/</t>
        </is>
      </c>
      <c r="K12" s="2" t="inlineStr">
        <is>
          <t>Red Cales WA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n">
        <v>12</v>
      </c>
      <c r="B13" s="4" t="inlineStr">
        <is>
          <t>⚡ WARM</t>
        </is>
      </c>
      <c r="C13" s="2" t="n">
        <v>6</v>
      </c>
      <c r="D13" s="2" t="inlineStr">
        <is>
          <t>Lic. Silvana Oviedo</t>
        </is>
      </c>
      <c r="E13" s="2" t="inlineStr">
        <is>
          <t>Psicología clínica</t>
        </is>
      </c>
      <c r="F13" s="2" t="inlineStr">
        <is>
          <t>Cerro de las Rosas, CBA</t>
        </is>
      </c>
      <c r="G13" s="2" t="inlineStr">
        <is>
          <t>3512308121</t>
        </is>
      </c>
      <c r="H13" s="2" t="inlineStr"/>
      <c r="I13" s="2" t="inlineStr">
        <is>
          <t>https://wa.me/543512308121</t>
        </is>
      </c>
      <c r="J13" s="2" t="inlineStr">
        <is>
          <t>https://cales.com.ar/profesional/lic-silvana-oviedo/</t>
        </is>
      </c>
      <c r="K13" s="2" t="inlineStr">
        <is>
          <t>Red Cales WA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n">
        <v>13</v>
      </c>
      <c r="B14" s="4" t="inlineStr">
        <is>
          <t>⚡ WARM</t>
        </is>
      </c>
      <c r="C14" s="2" t="n">
        <v>6</v>
      </c>
      <c r="D14" s="2" t="inlineStr">
        <is>
          <t>Lic. Martin Diego Garro</t>
        </is>
      </c>
      <c r="E14" s="2" t="inlineStr">
        <is>
          <t>Psicología clínica</t>
        </is>
      </c>
      <c r="F14" s="2" t="inlineStr">
        <is>
          <t>Nueva Córdoba</t>
        </is>
      </c>
      <c r="G14" s="2" t="inlineStr">
        <is>
          <t>3512308121</t>
        </is>
      </c>
      <c r="H14" s="2" t="inlineStr"/>
      <c r="I14" s="2" t="inlineStr">
        <is>
          <t>https://wa.me/543512308121</t>
        </is>
      </c>
      <c r="J14" s="2" t="inlineStr">
        <is>
          <t>https://cales.com.ar/profesional/lic-martin-diego-garro/</t>
        </is>
      </c>
      <c r="K14" s="2" t="inlineStr">
        <is>
          <t>Red Cales WA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n">
        <v>14</v>
      </c>
      <c r="B15" s="4" t="inlineStr">
        <is>
          <t>⚡ WARM</t>
        </is>
      </c>
      <c r="C15" s="2" t="n">
        <v>6</v>
      </c>
      <c r="D15" s="2" t="inlineStr">
        <is>
          <t>Lic. Carla Sigifredo</t>
        </is>
      </c>
      <c r="E15" s="2" t="inlineStr">
        <is>
          <t>Psicología clínica</t>
        </is>
      </c>
      <c r="F15" s="2" t="inlineStr">
        <is>
          <t>Nueva Córdoba / Alberdi</t>
        </is>
      </c>
      <c r="G15" s="2" t="inlineStr">
        <is>
          <t>3512308121</t>
        </is>
      </c>
      <c r="H15" s="2" t="inlineStr"/>
      <c r="I15" s="2" t="inlineStr">
        <is>
          <t>https://wa.me/543512308121</t>
        </is>
      </c>
      <c r="J15" s="2" t="inlineStr">
        <is>
          <t>https://cales.com.ar/profesional/lic-carla-sigifredo/</t>
        </is>
      </c>
      <c r="K15" s="2" t="inlineStr">
        <is>
          <t>Red Cales WA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n">
        <v>15</v>
      </c>
      <c r="B16" s="4" t="inlineStr">
        <is>
          <t>⚡ WARM</t>
        </is>
      </c>
      <c r="C16" s="2" t="n">
        <v>6</v>
      </c>
      <c r="D16" s="2" t="inlineStr">
        <is>
          <t>Lic. Fabiana Paolini</t>
        </is>
      </c>
      <c r="E16" s="2" t="inlineStr">
        <is>
          <t>Psicología clínica</t>
        </is>
      </c>
      <c r="F16" s="2" t="inlineStr">
        <is>
          <t>Alberdi, Córdoba</t>
        </is>
      </c>
      <c r="G16" s="2" t="inlineStr">
        <is>
          <t>3512308121</t>
        </is>
      </c>
      <c r="H16" s="2" t="inlineStr"/>
      <c r="I16" s="2" t="inlineStr">
        <is>
          <t>https://wa.me/543512308121</t>
        </is>
      </c>
      <c r="J16" s="2" t="inlineStr">
        <is>
          <t>https://cales.com.ar/profesional/lic-fabiana-maria-paolini/</t>
        </is>
      </c>
      <c r="K16" s="2" t="inlineStr">
        <is>
          <t>Red Cales WA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n">
        <v>16</v>
      </c>
      <c r="B17" s="4" t="inlineStr">
        <is>
          <t>⚡ WARM</t>
        </is>
      </c>
      <c r="C17" s="2" t="n">
        <v>6</v>
      </c>
      <c r="D17" s="2" t="inlineStr">
        <is>
          <t>Lic. Florencia Cárdenas</t>
        </is>
      </c>
      <c r="E17" s="2" t="inlineStr">
        <is>
          <t>Psicología clínica</t>
        </is>
      </c>
      <c r="F17" s="2" t="inlineStr">
        <is>
          <t>General Paz, Córdoba</t>
        </is>
      </c>
      <c r="G17" s="2" t="inlineStr">
        <is>
          <t>3512308121</t>
        </is>
      </c>
      <c r="H17" s="2" t="inlineStr"/>
      <c r="I17" s="2" t="inlineStr">
        <is>
          <t>https://wa.me/543512308121</t>
        </is>
      </c>
      <c r="J17" s="2" t="inlineStr">
        <is>
          <t>https://cales.com.ar/profesional/lic-florencia-cardenas/</t>
        </is>
      </c>
      <c r="K17" s="2" t="inlineStr">
        <is>
          <t>Red Cales WA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n">
        <v>17</v>
      </c>
      <c r="B18" s="4" t="inlineStr">
        <is>
          <t>⚡ WARM</t>
        </is>
      </c>
      <c r="C18" s="2" t="n">
        <v>6</v>
      </c>
      <c r="D18" s="2" t="inlineStr">
        <is>
          <t>Lic. Valeria Pinotti</t>
        </is>
      </c>
      <c r="E18" s="2" t="inlineStr">
        <is>
          <t>Psicología clínica</t>
        </is>
      </c>
      <c r="F18" s="2" t="inlineStr">
        <is>
          <t>Córdoba Capital Centro</t>
        </is>
      </c>
      <c r="G18" s="2" t="inlineStr">
        <is>
          <t>3512308121</t>
        </is>
      </c>
      <c r="H18" s="2" t="inlineStr"/>
      <c r="I18" s="2" t="inlineStr">
        <is>
          <t>https://wa.me/543512308121</t>
        </is>
      </c>
      <c r="J18" s="2" t="inlineStr">
        <is>
          <t>https://cales.com.ar/profesional/lic-valeria-pinotti/</t>
        </is>
      </c>
      <c r="K18" s="2" t="inlineStr">
        <is>
          <t>Red Cales WA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n">
        <v>18</v>
      </c>
      <c r="B19" s="4" t="inlineStr">
        <is>
          <t>⚡ WARM</t>
        </is>
      </c>
      <c r="C19" s="2" t="n">
        <v>6</v>
      </c>
      <c r="D19" s="2" t="inlineStr">
        <is>
          <t>Lic. Verónica Martinez</t>
        </is>
      </c>
      <c r="E19" s="2" t="inlineStr">
        <is>
          <t>Psicología clínica</t>
        </is>
      </c>
      <c r="F19" s="2" t="inlineStr">
        <is>
          <t>Córdoba Capital Centro</t>
        </is>
      </c>
      <c r="G19" s="2" t="inlineStr">
        <is>
          <t>3512308121</t>
        </is>
      </c>
      <c r="H19" s="2" t="inlineStr"/>
      <c r="I19" s="2" t="inlineStr">
        <is>
          <t>https://wa.me/543512308121</t>
        </is>
      </c>
      <c r="J19" s="2" t="inlineStr">
        <is>
          <t>https://cales.com.ar/profesional/lic-martinez-veronica-andrea/</t>
        </is>
      </c>
      <c r="K19" s="2" t="inlineStr">
        <is>
          <t>Red Cales WA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n">
        <v>19</v>
      </c>
      <c r="B20" s="4" t="inlineStr">
        <is>
          <t>⚡ WARM</t>
        </is>
      </c>
      <c r="C20" s="2" t="n">
        <v>6</v>
      </c>
      <c r="D20" s="2" t="inlineStr">
        <is>
          <t>Estrin Silvia Noemi</t>
        </is>
      </c>
      <c r="E20" s="2" t="inlineStr">
        <is>
          <t>Ansiedad / Terapia pareja</t>
        </is>
      </c>
      <c r="F20" s="2" t="inlineStr">
        <is>
          <t>Palermo, CABA</t>
        </is>
      </c>
      <c r="G20" s="2" t="inlineStr"/>
      <c r="H20" s="2" t="inlineStr"/>
      <c r="I20" s="2" t="inlineStr"/>
      <c r="J20" s="2" t="inlineStr">
        <is>
          <t>https://www.mundopsicologos.com.ar/centros/estrin-silvia-noemi</t>
        </is>
      </c>
      <c r="K20" s="2" t="inlineStr">
        <is>
          <t>Gurruchaga 506. Turnos online.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n">
        <v>20</v>
      </c>
      <c r="B21" s="4" t="inlineStr">
        <is>
          <t>⚡ WARM</t>
        </is>
      </c>
      <c r="C21" s="2" t="n">
        <v>6</v>
      </c>
      <c r="D21" s="2" t="inlineStr">
        <is>
          <t>Lic. Marcela Maidana</t>
        </is>
      </c>
      <c r="E21" s="2" t="inlineStr">
        <is>
          <t>Ansiedad / Pánico</t>
        </is>
      </c>
      <c r="F21" s="2" t="inlineStr">
        <is>
          <t>Belgrano, CABA</t>
        </is>
      </c>
      <c r="G21" s="2" t="inlineStr"/>
      <c r="H21" s="2" t="inlineStr"/>
      <c r="I21" s="2" t="inlineStr"/>
      <c r="J21" s="2" t="inlineStr">
        <is>
          <t>https://www.mundopsicologos.com.ar/centros/lic-marcela-maidana</t>
        </is>
      </c>
      <c r="K21" s="2" t="inlineStr">
        <is>
          <t>Roosevelt 2400. Online.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n">
        <v>21</v>
      </c>
      <c r="B22" s="4" t="inlineStr">
        <is>
          <t>⚡ WARM</t>
        </is>
      </c>
      <c r="C22" s="2" t="n">
        <v>5</v>
      </c>
      <c r="D22" s="2" t="inlineStr">
        <is>
          <t>Eugenia Duarte</t>
        </is>
      </c>
      <c r="E22" s="2" t="inlineStr">
        <is>
          <t>Gestalt / Clínica</t>
        </is>
      </c>
      <c r="F22" s="2" t="inlineStr">
        <is>
          <t>Córdoba Capital</t>
        </is>
      </c>
      <c r="G22" s="2" t="inlineStr"/>
      <c r="H22" s="2" t="inlineStr"/>
      <c r="I22" s="2" t="inlineStr"/>
      <c r="J22" s="2" t="inlineStr">
        <is>
          <t>https://psicologa.com.ar/</t>
        </is>
      </c>
      <c r="K22" s="2" t="inlineStr">
        <is>
          <t>Online + presencial. 23 años exp.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n">
        <v>22</v>
      </c>
      <c r="B23" s="4" t="inlineStr">
        <is>
          <t>⚡ WARM</t>
        </is>
      </c>
      <c r="C23" s="2" t="n">
        <v>5</v>
      </c>
      <c r="D23" s="2" t="inlineStr">
        <is>
          <t>Lic. Antonella Galanti</t>
        </is>
      </c>
      <c r="E23" s="2" t="inlineStr">
        <is>
          <t>TCC / Terapias contextuales</t>
        </is>
      </c>
      <c r="F23" s="2" t="inlineStr">
        <is>
          <t>Recoleta/Palermo, CABA</t>
        </is>
      </c>
      <c r="G23" s="2" t="inlineStr"/>
      <c r="H23" s="2" t="inlineStr"/>
      <c r="I23" s="2" t="inlineStr"/>
      <c r="J23" s="2" t="inlineStr">
        <is>
          <t>https://www.doctoraliar.com/antonella-galanti/psicologo/capital-federal</t>
        </is>
      </c>
      <c r="K23" s="2" t="inlineStr">
        <is>
          <t>77 reseñas. Av. Libertador 1428.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n">
        <v>23</v>
      </c>
      <c r="B24" s="4" t="inlineStr">
        <is>
          <t>⚡ WARM</t>
        </is>
      </c>
      <c r="C24" s="2" t="n">
        <v>5</v>
      </c>
      <c r="D24" s="2" t="inlineStr">
        <is>
          <t>Lic. Janina Salatti</t>
        </is>
      </c>
      <c r="E24" s="2" t="inlineStr">
        <is>
          <t>Psicología laboral / clínica</t>
        </is>
      </c>
      <c r="F24" s="2" t="inlineStr">
        <is>
          <t>Palermo, CABA</t>
        </is>
      </c>
      <c r="G24" s="2" t="inlineStr"/>
      <c r="H24" s="2" t="inlineStr"/>
      <c r="I24" s="2" t="inlineStr"/>
      <c r="J24" s="2" t="inlineStr">
        <is>
          <t>https://www.doctoraliar.com/janina-salatti/psicologo/rio-gallegos</t>
        </is>
      </c>
      <c r="K24" s="2" t="inlineStr">
        <is>
          <t>79 reseñas. Paraguay 3042.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n">
        <v>24</v>
      </c>
      <c r="B25" s="4" t="inlineStr">
        <is>
          <t>⚡ WARM</t>
        </is>
      </c>
      <c r="C25" s="2" t="n">
        <v>5</v>
      </c>
      <c r="D25" s="2" t="inlineStr">
        <is>
          <t>Lic. Guido Pazos</t>
        </is>
      </c>
      <c r="E25" s="2" t="inlineStr">
        <is>
          <t>TCC / Clínica</t>
        </is>
      </c>
      <c r="F25" s="2" t="inlineStr">
        <is>
          <t>Palermo, CABA</t>
        </is>
      </c>
      <c r="G25" s="2" t="inlineStr"/>
      <c r="H25" s="2" t="inlineStr"/>
      <c r="I25" s="2" t="inlineStr"/>
      <c r="J25" s="2" t="inlineStr">
        <is>
          <t>https://www.mundopsicologos.com.ar/centros/lic-guido-pazos</t>
        </is>
      </c>
      <c r="K25" s="2" t="inlineStr">
        <is>
          <t>Aráoz 2268.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n">
        <v>25</v>
      </c>
      <c r="B26" s="4" t="inlineStr">
        <is>
          <t>⚡ WARM</t>
        </is>
      </c>
      <c r="C26" s="2" t="n">
        <v>5</v>
      </c>
      <c r="D26" s="2" t="inlineStr">
        <is>
          <t>Lic. Florencia Larrarte</t>
        </is>
      </c>
      <c r="E26" s="2" t="inlineStr">
        <is>
          <t>TCC / Terapia pareja</t>
        </is>
      </c>
      <c r="F26" s="2" t="inlineStr">
        <is>
          <t>Recoleta, CABA</t>
        </is>
      </c>
      <c r="G26" s="2" t="inlineStr"/>
      <c r="H26" s="2" t="inlineStr"/>
      <c r="I26" s="2" t="inlineStr"/>
      <c r="J26" s="2" t="inlineStr">
        <is>
          <t>https://www.mundopsicologos.com.ar/centros/lic-florencia-larrarte</t>
        </is>
      </c>
      <c r="K26" s="2" t="inlineStr">
        <is>
          <t>Gallo 1071.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n">
        <v>26</v>
      </c>
      <c r="B27" s="4" t="inlineStr">
        <is>
          <t>⚡ WARM</t>
        </is>
      </c>
      <c r="C27" s="2" t="n">
        <v>5</v>
      </c>
      <c r="D27" s="2" t="inlineStr">
        <is>
          <t>Gustavo Rimoli</t>
        </is>
      </c>
      <c r="E27" s="2" t="inlineStr">
        <is>
          <t>TCC / Clínica</t>
        </is>
      </c>
      <c r="F27" s="2" t="inlineStr">
        <is>
          <t>Recoleta, CABA</t>
        </is>
      </c>
      <c r="G27" s="2" t="inlineStr"/>
      <c r="H27" s="2" t="inlineStr"/>
      <c r="I27" s="2" t="inlineStr"/>
      <c r="J27" s="2" t="inlineStr">
        <is>
          <t>https://www.mundopsicologos.com.ar/centros/gustavo-rimoli</t>
        </is>
      </c>
      <c r="K27" s="2" t="inlineStr">
        <is>
          <t>Las Heras 2050.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n">
        <v>27</v>
      </c>
      <c r="B28" s="4" t="inlineStr">
        <is>
          <t>⚡ WARM</t>
        </is>
      </c>
      <c r="C28" s="2" t="n">
        <v>5</v>
      </c>
      <c r="D28" s="2" t="inlineStr">
        <is>
          <t>María Paula de Veyga</t>
        </is>
      </c>
      <c r="E28" s="2" t="inlineStr">
        <is>
          <t>TCC / Psic. infantil</t>
        </is>
      </c>
      <c r="F28" s="2" t="inlineStr">
        <is>
          <t>Recoleta, CABA</t>
        </is>
      </c>
      <c r="G28" s="2" t="inlineStr"/>
      <c r="H28" s="2" t="inlineStr"/>
      <c r="I28" s="2" t="inlineStr"/>
      <c r="J28" s="2" t="inlineStr">
        <is>
          <t>https://www.mundopsicologos.com.ar/centros/lic-maria-paula-de-veyga</t>
        </is>
      </c>
      <c r="K28" s="2" t="inlineStr">
        <is>
          <t>Austria 2122.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n">
        <v>28</v>
      </c>
      <c r="B29" s="4" t="inlineStr">
        <is>
          <t>⚡ WARM</t>
        </is>
      </c>
      <c r="C29" s="2" t="n">
        <v>5</v>
      </c>
      <c r="D29" s="2" t="inlineStr">
        <is>
          <t>Bárbara Ballesteros</t>
        </is>
      </c>
      <c r="E29" s="2" t="inlineStr">
        <is>
          <t>TCC / Ansiedad</t>
        </is>
      </c>
      <c r="F29" s="2" t="inlineStr">
        <is>
          <t>Palermo/Recoleta, CABA</t>
        </is>
      </c>
      <c r="G29" s="2" t="inlineStr"/>
      <c r="H29" s="2" t="inlineStr"/>
      <c r="I29" s="2" t="inlineStr"/>
      <c r="J29" s="2" t="inlineStr">
        <is>
          <t>https://www.mundopsicologos.com.ar/centros/barbara-ballesteros</t>
        </is>
      </c>
      <c r="K29" s="2" t="inlineStr">
        <is>
          <t>Av. Santa Fe y Callao. $42k.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n">
        <v>29</v>
      </c>
      <c r="B30" s="4" t="inlineStr">
        <is>
          <t>⚡ WARM</t>
        </is>
      </c>
      <c r="C30" s="2" t="n">
        <v>5</v>
      </c>
      <c r="D30" s="2" t="inlineStr">
        <is>
          <t>Lic. Jonatan Sallustio</t>
        </is>
      </c>
      <c r="E30" s="2" t="inlineStr">
        <is>
          <t>TCC / Psicoanálisis</t>
        </is>
      </c>
      <c r="F30" s="2" t="inlineStr">
        <is>
          <t>Belgrano, CABA</t>
        </is>
      </c>
      <c r="G30" s="2" t="inlineStr"/>
      <c r="H30" s="2" t="inlineStr"/>
      <c r="I30" s="2" t="inlineStr"/>
      <c r="J30" s="2" t="inlineStr">
        <is>
          <t>https://www.doctoraliar.com/jonatan-sallustio/psicologo-psicoanalista/capital-federal</t>
        </is>
      </c>
      <c r="K30" s="2" t="inlineStr">
        <is>
          <t>75 reseñas. Av. Melián 2067.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n">
        <v>30</v>
      </c>
      <c r="B31" s="4" t="inlineStr">
        <is>
          <t>⚡ WARM</t>
        </is>
      </c>
      <c r="C31" s="2" t="n">
        <v>5</v>
      </c>
      <c r="D31" s="2" t="inlineStr">
        <is>
          <t>Lic. María Sol Cátera</t>
        </is>
      </c>
      <c r="E31" s="2" t="inlineStr">
        <is>
          <t>Psicología clínica</t>
        </is>
      </c>
      <c r="F31" s="2" t="inlineStr">
        <is>
          <t>Belgrano, CABA</t>
        </is>
      </c>
      <c r="G31" s="2" t="inlineStr"/>
      <c r="H31" s="2" t="inlineStr"/>
      <c r="I31" s="2" t="inlineStr"/>
      <c r="J31" s="2" t="inlineStr">
        <is>
          <t>https://www.doctoraliar.com/maria-sol-catera/psicologo/capital-federal</t>
        </is>
      </c>
      <c r="K31" s="2" t="inlineStr">
        <is>
          <t>46 reseñas. José Hernández 2729.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n">
        <v>31</v>
      </c>
      <c r="B32" s="4" t="inlineStr">
        <is>
          <t>⚡ WARM</t>
        </is>
      </c>
      <c r="C32" s="2" t="n">
        <v>5</v>
      </c>
      <c r="D32" s="2" t="inlineStr">
        <is>
          <t>Lic. Diego Pimentel</t>
        </is>
      </c>
      <c r="E32" s="2" t="inlineStr">
        <is>
          <t>Neuropsicología / EMDR</t>
        </is>
      </c>
      <c r="F32" s="2" t="inlineStr">
        <is>
          <t>Belgrano, CABA</t>
        </is>
      </c>
      <c r="G32" s="2" t="inlineStr"/>
      <c r="H32" s="2" t="inlineStr"/>
      <c r="I32" s="2" t="inlineStr"/>
      <c r="J32" s="2" t="inlineStr">
        <is>
          <t>https://www.doctoraliar.com/diego-hernan-pimentel/psicologo/capital-federal</t>
        </is>
      </c>
      <c r="K32" s="2" t="inlineStr">
        <is>
          <t>37 reseñas. Av. Cabildo 3062.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n">
        <v>32</v>
      </c>
      <c r="B33" s="4" t="inlineStr">
        <is>
          <t>⚡ WARM</t>
        </is>
      </c>
      <c r="C33" s="2" t="n">
        <v>5</v>
      </c>
      <c r="D33" s="2" t="inlineStr">
        <is>
          <t>Lic. Gabriela Rozados</t>
        </is>
      </c>
      <c r="E33" s="2" t="inlineStr">
        <is>
          <t>TCC / Clínica</t>
        </is>
      </c>
      <c r="F33" s="2" t="inlineStr">
        <is>
          <t>Belgrano, CABA</t>
        </is>
      </c>
      <c r="G33" s="2" t="inlineStr"/>
      <c r="H33" s="2" t="inlineStr"/>
      <c r="I33" s="2" t="inlineStr"/>
      <c r="J33" s="2" t="inlineStr">
        <is>
          <t>https://www.doctoraliar.com/gabriela-rozados/psicologo/belgrano</t>
        </is>
      </c>
      <c r="K33" s="2" t="inlineStr">
        <is>
          <t>10 reseñas. Cramer 2734.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n">
        <v>33</v>
      </c>
      <c r="B34" s="4" t="inlineStr">
        <is>
          <t>⚡ WARM</t>
        </is>
      </c>
      <c r="C34" s="2" t="n">
        <v>5</v>
      </c>
      <c r="D34" s="2" t="inlineStr">
        <is>
          <t>Lic. Laura Sussi</t>
        </is>
      </c>
      <c r="E34" s="2" t="inlineStr">
        <is>
          <t>TCC / Terapia pareja</t>
        </is>
      </c>
      <c r="F34" s="2" t="inlineStr">
        <is>
          <t>Belgrano, CABA</t>
        </is>
      </c>
      <c r="G34" s="2" t="inlineStr"/>
      <c r="H34" s="2" t="inlineStr"/>
      <c r="I34" s="2" t="inlineStr"/>
      <c r="J34" s="2" t="inlineStr">
        <is>
          <t>https://www.mundopsicologos.com.ar/centros/lic-laura-sussi</t>
        </is>
      </c>
      <c r="K34" s="2" t="inlineStr">
        <is>
          <t>Cabildo.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n">
        <v>34</v>
      </c>
      <c r="B35" s="4" t="inlineStr">
        <is>
          <t>⚡ WARM</t>
        </is>
      </c>
      <c r="C35" s="2" t="n">
        <v>5</v>
      </c>
      <c r="D35" s="2" t="inlineStr">
        <is>
          <t>Lic. Vivián Castro Cabral</t>
        </is>
      </c>
      <c r="E35" s="2" t="inlineStr">
        <is>
          <t>TCC / Duelo</t>
        </is>
      </c>
      <c r="F35" s="2" t="inlineStr">
        <is>
          <t>Belgrano, CABA</t>
        </is>
      </c>
      <c r="G35" s="2" t="inlineStr"/>
      <c r="H35" s="2" t="inlineStr"/>
      <c r="I35" s="2" t="inlineStr"/>
      <c r="J35" s="2" t="inlineStr">
        <is>
          <t>https://www.mundopsicologos.com.ar/centros/lic-vivian-fabiana-castro-cabral</t>
        </is>
      </c>
      <c r="K35" s="2" t="inlineStr">
        <is>
          <t>11 de Septiembre 1651.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n">
        <v>35</v>
      </c>
      <c r="B36" s="4" t="inlineStr">
        <is>
          <t>⚡ WARM</t>
        </is>
      </c>
      <c r="C36" s="2" t="n">
        <v>5</v>
      </c>
      <c r="D36" s="2" t="inlineStr">
        <is>
          <t>Lic. Belinda Tancredi</t>
        </is>
      </c>
      <c r="E36" s="2" t="inlineStr">
        <is>
          <t>TCC / Duelo</t>
        </is>
      </c>
      <c r="F36" s="2" t="inlineStr">
        <is>
          <t>Belgrano, CABA</t>
        </is>
      </c>
      <c r="G36" s="2" t="inlineStr"/>
      <c r="H36" s="2" t="inlineStr"/>
      <c r="I36" s="2" t="inlineStr"/>
      <c r="J36" s="2" t="inlineStr">
        <is>
          <t>https://www.mundopsicologos.com.ar/centros/lic-belinda-tancredi</t>
        </is>
      </c>
      <c r="K36" s="2" t="inlineStr">
        <is>
          <t>Ciudad de la Paz 2139.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n">
        <v>36</v>
      </c>
      <c r="B37" s="4" t="inlineStr">
        <is>
          <t>⚡ WARM</t>
        </is>
      </c>
      <c r="C37" s="2" t="n">
        <v>5</v>
      </c>
      <c r="D37" s="2" t="inlineStr">
        <is>
          <t>Lic. Sandra Gundin</t>
        </is>
      </c>
      <c r="E37" s="2" t="inlineStr">
        <is>
          <t>Terapia familiar / Clínica</t>
        </is>
      </c>
      <c r="F37" s="2" t="inlineStr">
        <is>
          <t>Belgrano, CABA</t>
        </is>
      </c>
      <c r="G37" s="2" t="inlineStr"/>
      <c r="H37" s="2" t="inlineStr"/>
      <c r="I37" s="2" t="inlineStr"/>
      <c r="J37" s="2" t="inlineStr">
        <is>
          <t>https://www.mundopsicologos.com.ar/centros/lic-sandra-gundin</t>
        </is>
      </c>
      <c r="K37" s="2" t="inlineStr">
        <is>
          <t>La Pampa 2477.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n">
        <v>37</v>
      </c>
      <c r="B38" s="5" t="inlineStr">
        <is>
          <t>🥶 COLD</t>
        </is>
      </c>
      <c r="C38" s="2" t="n">
        <v>4</v>
      </c>
      <c r="D38" s="2" t="inlineStr">
        <is>
          <t>Lic. Cecilia A. Pegoraro</t>
        </is>
      </c>
      <c r="E38" s="2" t="inlineStr">
        <is>
          <t>Psicología clínica</t>
        </is>
      </c>
      <c r="F38" s="2" t="inlineStr">
        <is>
          <t>Córdoba Capital</t>
        </is>
      </c>
      <c r="G38" s="2" t="inlineStr">
        <is>
          <t>0351 152832844</t>
        </is>
      </c>
      <c r="H38" s="2" t="inlineStr"/>
      <c r="I38" s="2" t="inlineStr">
        <is>
          <t>https://wa.me/54351152832844</t>
        </is>
      </c>
      <c r="J38" s="2" t="inlineStr"/>
      <c r="K38" s="2" t="inlineStr">
        <is>
          <t>MP 7601. Tel propio.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n">
        <v>38</v>
      </c>
      <c r="B39" s="5" t="inlineStr">
        <is>
          <t>🥶 COLD</t>
        </is>
      </c>
      <c r="C39" s="2" t="n">
        <v>4</v>
      </c>
      <c r="D39" s="2" t="inlineStr">
        <is>
          <t>Dra. Maria Alejandra Moisello</t>
        </is>
      </c>
      <c r="E39" s="2" t="inlineStr">
        <is>
          <t>Nutricionista</t>
        </is>
      </c>
      <c r="F39" s="2" t="inlineStr">
        <is>
          <t>Palermo, CABA</t>
        </is>
      </c>
      <c r="G39" s="2" t="inlineStr"/>
      <c r="H39" s="2" t="inlineStr"/>
      <c r="I39" s="2" t="inlineStr"/>
      <c r="J39" s="2" t="inlineStr">
        <is>
          <t>https://www.doctoraliar.com/maria-alejandra-moisello/nutricionista/capital-federal</t>
        </is>
      </c>
      <c r="K39" s="2" t="inlineStr">
        <is>
          <t>205 reseñas Doctoralia. Paraguay 2468 P2B.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n">
        <v>39</v>
      </c>
      <c r="B40" s="5" t="inlineStr">
        <is>
          <t>🥶 COLD</t>
        </is>
      </c>
      <c r="C40" s="2" t="n">
        <v>4</v>
      </c>
      <c r="D40" s="2" t="inlineStr">
        <is>
          <t>Lic. Margarita Grundnig</t>
        </is>
      </c>
      <c r="E40" s="2" t="inlineStr">
        <is>
          <t>Nutrición / Coaching nutric.</t>
        </is>
      </c>
      <c r="F40" s="2" t="inlineStr">
        <is>
          <t>Palermo-Botánico, CABA</t>
        </is>
      </c>
      <c r="G40" s="2" t="inlineStr"/>
      <c r="H40" s="2" t="inlineStr"/>
      <c r="I40" s="2" t="inlineStr"/>
      <c r="J40" s="2" t="inlineStr">
        <is>
          <t>https://www.doctoraliar.com/margarita-grundnig/nutricionista/capital-federal</t>
        </is>
      </c>
      <c r="K40" s="2" t="inlineStr">
        <is>
          <t>36 reseñas. Armenia 2387.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n">
        <v>40</v>
      </c>
      <c r="B41" s="5" t="inlineStr">
        <is>
          <t>🥶 COLD</t>
        </is>
      </c>
      <c r="C41" s="2" t="n">
        <v>4</v>
      </c>
      <c r="D41" s="2" t="inlineStr">
        <is>
          <t>Dra. Cecilia Trujillo</t>
        </is>
      </c>
      <c r="E41" s="2" t="inlineStr">
        <is>
          <t>Nutrición / Medicina integral.</t>
        </is>
      </c>
      <c r="F41" s="2" t="inlineStr">
        <is>
          <t>Palermo, CABA</t>
        </is>
      </c>
      <c r="G41" s="2" t="inlineStr"/>
      <c r="H41" s="2" t="inlineStr"/>
      <c r="I41" s="2" t="inlineStr"/>
      <c r="J41" s="2" t="inlineStr">
        <is>
          <t>https://www.doctoraliar.com/cecilia-trujillo/medico-general-y-familiar-nutricionista/capital-federal</t>
        </is>
      </c>
      <c r="K41" s="2" t="inlineStr">
        <is>
          <t>16 reseñas. Pueyrredón 1705.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n">
        <v>41</v>
      </c>
      <c r="B42" s="5" t="inlineStr">
        <is>
          <t>🥶 COLD</t>
        </is>
      </c>
      <c r="C42" s="2" t="n">
        <v>4</v>
      </c>
      <c r="D42" s="2" t="inlineStr">
        <is>
          <t>Lic. Celeste Diaz</t>
        </is>
      </c>
      <c r="E42" s="2" t="inlineStr">
        <is>
          <t>Psicología forense / Ansiedad</t>
        </is>
      </c>
      <c r="F42" s="2" t="inlineStr">
        <is>
          <t>Palermo, CABA</t>
        </is>
      </c>
      <c r="G42" s="2" t="inlineStr"/>
      <c r="H42" s="2" t="inlineStr"/>
      <c r="I42" s="2" t="inlineStr"/>
      <c r="J42" s="2" t="inlineStr">
        <is>
          <t>https://www.doctoraliar.com/celeste-diaz/psicologo/benavidez</t>
        </is>
      </c>
      <c r="K42" s="2" t="inlineStr">
        <is>
          <t>51 reseñas. Av. Santa Fe.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n">
        <v>42</v>
      </c>
      <c r="B43" s="5" t="inlineStr">
        <is>
          <t>🥶 COLD</t>
        </is>
      </c>
      <c r="C43" s="2" t="n">
        <v>4</v>
      </c>
      <c r="D43" s="2" t="inlineStr">
        <is>
          <t>Karina Matzkin</t>
        </is>
      </c>
      <c r="E43" s="2" t="inlineStr">
        <is>
          <t>Ansiedad / Depresión</t>
        </is>
      </c>
      <c r="F43" s="2" t="inlineStr">
        <is>
          <t>Palermo, CABA</t>
        </is>
      </c>
      <c r="G43" s="2" t="inlineStr"/>
      <c r="H43" s="2" t="inlineStr"/>
      <c r="I43" s="2" t="inlineStr"/>
      <c r="J43" s="2" t="inlineStr">
        <is>
          <t>https://www.mundopsicologos.com.ar/centros/karina-matzkin</t>
        </is>
      </c>
      <c r="K43" s="2" t="inlineStr">
        <is>
          <t>Paraguay 3636.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n">
        <v>43</v>
      </c>
      <c r="B44" s="5" t="inlineStr">
        <is>
          <t>🥶 COLD</t>
        </is>
      </c>
      <c r="C44" s="2" t="n">
        <v>4</v>
      </c>
      <c r="D44" s="2" t="inlineStr">
        <is>
          <t>Lic. Lautaro Cisneros</t>
        </is>
      </c>
      <c r="E44" s="2" t="inlineStr">
        <is>
          <t>Ansiedad / Terapia pareja</t>
        </is>
      </c>
      <c r="F44" s="2" t="inlineStr">
        <is>
          <t>Palermo, CABA</t>
        </is>
      </c>
      <c r="G44" s="2" t="inlineStr"/>
      <c r="H44" s="2" t="inlineStr"/>
      <c r="I44" s="2" t="inlineStr"/>
      <c r="J44" s="2" t="inlineStr">
        <is>
          <t>https://www.mundopsicologos.com.ar/centros/lic-lautaro-cisneros</t>
        </is>
      </c>
      <c r="K44" s="2" t="inlineStr">
        <is>
          <t>Paraguay 4176.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n">
        <v>44</v>
      </c>
      <c r="B45" s="5" t="inlineStr">
        <is>
          <t>🥶 COLD</t>
        </is>
      </c>
      <c r="C45" s="2" t="n">
        <v>4</v>
      </c>
      <c r="D45" s="2" t="inlineStr">
        <is>
          <t>Gabriela Fernández Ortiz</t>
        </is>
      </c>
      <c r="E45" s="2" t="inlineStr">
        <is>
          <t>Ansiedad / Psic. infantil</t>
        </is>
      </c>
      <c r="F45" s="2" t="inlineStr">
        <is>
          <t>Palermo, CABA</t>
        </is>
      </c>
      <c r="G45" s="2" t="inlineStr"/>
      <c r="H45" s="2" t="inlineStr"/>
      <c r="I45" s="2" t="inlineStr"/>
      <c r="J45" s="2" t="inlineStr">
        <is>
          <t>https://www.mundopsicologos.com.ar/centros/gabriela-fernandez-ortiz</t>
        </is>
      </c>
      <c r="K45" s="2" t="inlineStr">
        <is>
          <t>Mansilla 3333.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n">
        <v>45</v>
      </c>
      <c r="B46" s="5" t="inlineStr">
        <is>
          <t>🥶 COLD</t>
        </is>
      </c>
      <c r="C46" s="2" t="n">
        <v>4</v>
      </c>
      <c r="D46" s="2" t="inlineStr">
        <is>
          <t>Graciela Mónica Guidi</t>
        </is>
      </c>
      <c r="E46" s="2" t="inlineStr">
        <is>
          <t>Ansiedad / Terapia pareja</t>
        </is>
      </c>
      <c r="F46" s="2" t="inlineStr">
        <is>
          <t>Palermo, CABA</t>
        </is>
      </c>
      <c r="G46" s="2" t="inlineStr"/>
      <c r="H46" s="2" t="inlineStr"/>
      <c r="I46" s="2" t="inlineStr"/>
      <c r="J46" s="2" t="inlineStr">
        <is>
          <t>https://www.mundopsicologos.com.ar/centros/graciela-monica-guidi</t>
        </is>
      </c>
      <c r="K46" s="2" t="inlineStr">
        <is>
          <t>Malabia 2363.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n">
        <v>46</v>
      </c>
      <c r="B47" s="5" t="inlineStr">
        <is>
          <t>🥶 COLD</t>
        </is>
      </c>
      <c r="C47" s="2" t="n">
        <v>4</v>
      </c>
      <c r="D47" s="2" t="inlineStr">
        <is>
          <t>Melina Oundjian</t>
        </is>
      </c>
      <c r="E47" s="2" t="inlineStr">
        <is>
          <t>Ansiedad / Psic. infantil</t>
        </is>
      </c>
      <c r="F47" s="2" t="inlineStr">
        <is>
          <t>Palermo, CABA</t>
        </is>
      </c>
      <c r="G47" s="2" t="inlineStr"/>
      <c r="H47" s="2" t="inlineStr"/>
      <c r="I47" s="2" t="inlineStr"/>
      <c r="J47" s="2" t="inlineStr">
        <is>
          <t>https://www.mundopsicologos.com.ar/centros/melina-oundjian</t>
        </is>
      </c>
      <c r="K47" s="2" t="inlineStr">
        <is>
          <t>Ombú 2994.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n">
        <v>47</v>
      </c>
      <c r="B48" s="5" t="inlineStr">
        <is>
          <t>🥶 COLD</t>
        </is>
      </c>
      <c r="C48" s="2" t="n">
        <v>4</v>
      </c>
      <c r="D48" s="2" t="inlineStr">
        <is>
          <t>Margarita Brassara</t>
        </is>
      </c>
      <c r="E48" s="2" t="inlineStr">
        <is>
          <t>Ansiedad / Psic. adolesc.</t>
        </is>
      </c>
      <c r="F48" s="2" t="inlineStr">
        <is>
          <t>Recoleta, CABA</t>
        </is>
      </c>
      <c r="G48" s="2" t="inlineStr"/>
      <c r="H48" s="2" t="inlineStr"/>
      <c r="I48" s="2" t="inlineStr"/>
      <c r="J48" s="2" t="inlineStr">
        <is>
          <t>https://www.mundopsicologos.com.ar/centros/margarita-brassara</t>
        </is>
      </c>
      <c r="K48" s="2" t="inlineStr">
        <is>
          <t>Pueyrredón 1005.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n">
        <v>48</v>
      </c>
      <c r="B49" s="5" t="inlineStr">
        <is>
          <t>🥶 COLD</t>
        </is>
      </c>
      <c r="C49" s="2" t="n">
        <v>4</v>
      </c>
      <c r="D49" s="2" t="inlineStr">
        <is>
          <t>Lic. Javier Lagorio</t>
        </is>
      </c>
      <c r="E49" s="2" t="inlineStr">
        <is>
          <t>Ansiedad / Psic. infantil</t>
        </is>
      </c>
      <c r="F49" s="2" t="inlineStr">
        <is>
          <t>Recoleta, CABA</t>
        </is>
      </c>
      <c r="G49" s="2" t="inlineStr"/>
      <c r="H49" s="2" t="inlineStr"/>
      <c r="I49" s="2" t="inlineStr"/>
      <c r="J49" s="2" t="inlineStr">
        <is>
          <t>https://www.mundopsicologos.com.ar/centros/lic-javier-ignacio-lagorio</t>
        </is>
      </c>
      <c r="K49" s="2" t="inlineStr">
        <is>
          <t>Anchorena 1484.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n">
        <v>49</v>
      </c>
      <c r="B50" s="5" t="inlineStr">
        <is>
          <t>🥶 COLD</t>
        </is>
      </c>
      <c r="C50" s="2" t="n">
        <v>4</v>
      </c>
      <c r="D50" s="2" t="inlineStr">
        <is>
          <t>Lic. Gabriela Cirillo</t>
        </is>
      </c>
      <c r="E50" s="2" t="inlineStr">
        <is>
          <t>Psicoterapia individual</t>
        </is>
      </c>
      <c r="F50" s="2" t="inlineStr">
        <is>
          <t>Belgrano, CABA</t>
        </is>
      </c>
      <c r="G50" s="2" t="inlineStr"/>
      <c r="H50" s="2" t="inlineStr"/>
      <c r="I50" s="2" t="inlineStr"/>
      <c r="J50" s="2" t="inlineStr">
        <is>
          <t>https://www.doctoraliar.com/gabriela-cirillo/psicologo/capital-federal</t>
        </is>
      </c>
      <c r="K50" s="2" t="inlineStr">
        <is>
          <t>26 reseñas. Av. Luis María Campos.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n">
        <v>50</v>
      </c>
      <c r="B51" s="5" t="inlineStr">
        <is>
          <t>🥶 COLD</t>
        </is>
      </c>
      <c r="C51" s="2" t="n">
        <v>4</v>
      </c>
      <c r="D51" s="2" t="inlineStr">
        <is>
          <t>Muriel Noguera</t>
        </is>
      </c>
      <c r="E51" s="2" t="inlineStr">
        <is>
          <t>Psicoanálisis / Ansiedad</t>
        </is>
      </c>
      <c r="F51" s="2" t="inlineStr">
        <is>
          <t>Belgrano, CABA</t>
        </is>
      </c>
      <c r="G51" s="2" t="inlineStr"/>
      <c r="H51" s="2" t="inlineStr"/>
      <c r="I51" s="2" t="inlineStr"/>
      <c r="J51" s="2" t="inlineStr">
        <is>
          <t>https://www.mundopsicologos.com.ar/centros/muriel-noguera</t>
        </is>
      </c>
      <c r="K51" s="2" t="inlineStr">
        <is>
          <t>Av. Monroe.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n">
        <v>51</v>
      </c>
      <c r="B52" s="5" t="inlineStr">
        <is>
          <t>🥶 COLD</t>
        </is>
      </c>
      <c r="C52" s="2" t="n">
        <v>4</v>
      </c>
      <c r="D52" s="2" t="inlineStr">
        <is>
          <t>Sol Mouriño Marzoa</t>
        </is>
      </c>
      <c r="E52" s="2" t="inlineStr">
        <is>
          <t>Ansiedad / Psic. infantil</t>
        </is>
      </c>
      <c r="F52" s="2" t="inlineStr">
        <is>
          <t>Belgrano, CABA</t>
        </is>
      </c>
      <c r="G52" s="2" t="inlineStr"/>
      <c r="H52" s="2" t="inlineStr"/>
      <c r="I52" s="2" t="inlineStr"/>
      <c r="J52" s="2" t="inlineStr">
        <is>
          <t>https://www.mundopsicologos.com.ar/centros/sol-mourino-marzoa</t>
        </is>
      </c>
      <c r="K52" s="2" t="inlineStr">
        <is>
          <t>Av. Cabildo y Lacroze.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n">
        <v>52</v>
      </c>
      <c r="B53" s="5" t="inlineStr">
        <is>
          <t>🥶 COLD</t>
        </is>
      </c>
      <c r="C53" s="2" t="n">
        <v>4</v>
      </c>
      <c r="D53" s="2" t="inlineStr">
        <is>
          <t>Lic. Mirta Seguí</t>
        </is>
      </c>
      <c r="E53" s="2" t="inlineStr">
        <is>
          <t>Ansiedad / Pánico</t>
        </is>
      </c>
      <c r="F53" s="2" t="inlineStr">
        <is>
          <t>Belgrano, CABA</t>
        </is>
      </c>
      <c r="G53" s="2" t="inlineStr"/>
      <c r="H53" s="2" t="inlineStr"/>
      <c r="I53" s="2" t="inlineStr"/>
      <c r="J53" s="2" t="inlineStr">
        <is>
          <t>https://www.mundopsicologos.com.ar/centros/lic-mirta-haydee-segui</t>
        </is>
      </c>
      <c r="K53" s="2" t="inlineStr">
        <is>
          <t>Cuba 1871.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n">
        <v>53</v>
      </c>
      <c r="B54" s="5" t="inlineStr">
        <is>
          <t>🥶 COLD</t>
        </is>
      </c>
      <c r="C54" s="2" t="n">
        <v>4</v>
      </c>
      <c r="D54" s="2" t="inlineStr">
        <is>
          <t>Nutriser Centro Nutrición</t>
        </is>
      </c>
      <c r="E54" s="2" t="inlineStr">
        <is>
          <t>Nutricionista (centro)</t>
        </is>
      </c>
      <c r="F54" s="2" t="inlineStr">
        <is>
          <t>Córdoba Capital</t>
        </is>
      </c>
      <c r="G54" s="2" t="inlineStr"/>
      <c r="H54" s="2" t="inlineStr"/>
      <c r="I54" s="2" t="inlineStr"/>
      <c r="J54" s="2" t="inlineStr">
        <is>
          <t>https://centronutriser.com/</t>
        </is>
      </c>
      <c r="K54" s="2" t="inlineStr">
        <is>
          <t>Consultas presenciales y online.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n">
        <v>54</v>
      </c>
      <c r="B55" s="5" t="inlineStr">
        <is>
          <t>🥶 COLD</t>
        </is>
      </c>
      <c r="C55" s="2" t="n">
        <v>3</v>
      </c>
      <c r="D55" s="2" t="inlineStr">
        <is>
          <t>Diego A. Valdivia</t>
        </is>
      </c>
      <c r="E55" s="2" t="inlineStr">
        <is>
          <t>TCC</t>
        </is>
      </c>
      <c r="F55" s="2" t="inlineStr">
        <is>
          <t>Palermo, CABA</t>
        </is>
      </c>
      <c r="G55" s="2" t="inlineStr"/>
      <c r="H55" s="2" t="inlineStr"/>
      <c r="I55" s="2" t="inlineStr"/>
      <c r="J55" s="2" t="inlineStr">
        <is>
          <t>https://psicologosbuenosaires.com/diego-a-valdivia-psicologo-tcc--1429</t>
        </is>
      </c>
      <c r="K55" s="2" t="inlineStr">
        <is>
          <t>Araoz 2850. $23,000/ses.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n">
        <v>55</v>
      </c>
      <c r="B56" s="5" t="inlineStr">
        <is>
          <t>🥶 COLD</t>
        </is>
      </c>
      <c r="C56" s="2" t="n">
        <v>3</v>
      </c>
      <c r="D56" s="2" t="inlineStr">
        <is>
          <t>Lic. Federico Plá</t>
        </is>
      </c>
      <c r="E56" s="2" t="inlineStr">
        <is>
          <t>TCC</t>
        </is>
      </c>
      <c r="F56" s="2" t="inlineStr">
        <is>
          <t>Palermo, CABA</t>
        </is>
      </c>
      <c r="G56" s="2" t="inlineStr"/>
      <c r="H56" s="2" t="inlineStr"/>
      <c r="I56" s="2" t="inlineStr"/>
      <c r="J56" s="2" t="inlineStr">
        <is>
          <t>https://psicologosbuenosaires.com/lic-federico-pla-psicologo-cognitivo-conductual-317</t>
        </is>
      </c>
      <c r="K56" s="2" t="inlineStr">
        <is>
          <t>Sánchez de Bustamante.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n">
        <v>56</v>
      </c>
      <c r="B57" s="5" t="inlineStr">
        <is>
          <t>🥶 COLD</t>
        </is>
      </c>
      <c r="C57" s="2" t="n">
        <v>3</v>
      </c>
      <c r="D57" s="2" t="inlineStr">
        <is>
          <t>Valentina Barrios</t>
        </is>
      </c>
      <c r="E57" s="2" t="inlineStr">
        <is>
          <t>TCC / Cognitivo conductual</t>
        </is>
      </c>
      <c r="F57" s="2" t="inlineStr">
        <is>
          <t>Palermo, CABA</t>
        </is>
      </c>
      <c r="G57" s="2" t="inlineStr"/>
      <c r="H57" s="2" t="inlineStr"/>
      <c r="I57" s="2" t="inlineStr"/>
      <c r="J57" s="2" t="inlineStr">
        <is>
          <t>https://psicologosbuenosaires.com/lic-valentina-barrios-psicologa-cognitivo-conductual-340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n">
        <v>57</v>
      </c>
      <c r="B58" s="5" t="inlineStr">
        <is>
          <t>🥶 COLD</t>
        </is>
      </c>
      <c r="C58" s="2" t="n">
        <v>3</v>
      </c>
      <c r="D58" s="2" t="inlineStr">
        <is>
          <t>Sofía Duarte</t>
        </is>
      </c>
      <c r="E58" s="2" t="inlineStr">
        <is>
          <t>Psicología clínica / TCC</t>
        </is>
      </c>
      <c r="F58" s="2" t="inlineStr">
        <is>
          <t>Palermo, CABA</t>
        </is>
      </c>
      <c r="G58" s="2" t="inlineStr"/>
      <c r="H58" s="2" t="inlineStr"/>
      <c r="I58" s="2" t="inlineStr"/>
      <c r="J58" s="2" t="inlineStr">
        <is>
          <t>https://psicologosbuenosaires.com/especialista-en-psicologia-clinica-uba-terapeuta-cognitivo-conductual-1531</t>
        </is>
      </c>
      <c r="K58" s="2" t="inlineStr">
        <is>
          <t>Migueletes 825.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n">
        <v>58</v>
      </c>
      <c r="B59" s="5" t="inlineStr">
        <is>
          <t>🥶 COLD</t>
        </is>
      </c>
      <c r="C59" s="2" t="n">
        <v>3</v>
      </c>
      <c r="D59" s="2" t="inlineStr">
        <is>
          <t>Jonathan Petrone</t>
        </is>
      </c>
      <c r="E59" s="2" t="inlineStr">
        <is>
          <t>TCC</t>
        </is>
      </c>
      <c r="F59" s="2" t="inlineStr">
        <is>
          <t>Palermo, CABA</t>
        </is>
      </c>
      <c r="G59" s="2" t="inlineStr"/>
      <c r="H59" s="2" t="inlineStr"/>
      <c r="I59" s="2" t="inlineStr"/>
      <c r="J59" s="2" t="inlineStr">
        <is>
          <t>https://psicologosbuenosaires.com/lic-jonathan-petrone-psicologo-cognitivo-conductual-1929</t>
        </is>
      </c>
      <c r="K59" s="2" t="inlineStr">
        <is>
          <t>Plaza Italia.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n">
        <v>59</v>
      </c>
      <c r="B60" s="5" t="inlineStr">
        <is>
          <t>🥶 COLD</t>
        </is>
      </c>
      <c r="C60" s="2" t="n">
        <v>2</v>
      </c>
      <c r="D60" s="2" t="inlineStr">
        <is>
          <t>Victoria Henao</t>
        </is>
      </c>
      <c r="E60" s="2" t="inlineStr">
        <is>
          <t>Especialista ansiedad</t>
        </is>
      </c>
      <c r="F60" s="2" t="inlineStr">
        <is>
          <t>Palermo, CABA</t>
        </is>
      </c>
      <c r="G60" s="2" t="inlineStr"/>
      <c r="H60" s="2" t="inlineStr"/>
      <c r="I60" s="2" t="inlineStr"/>
      <c r="J60" s="2" t="inlineStr">
        <is>
          <t>https://psicologosbuenosaires.com/psicologa-victoria-henao-esp-ansiedad-672</t>
        </is>
      </c>
      <c r="K60" s="2" t="inlineStr">
        <is>
          <t>Zapata 260.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n">
        <v>60</v>
      </c>
      <c r="B61" s="5" t="inlineStr">
        <is>
          <t>🥶 COLD</t>
        </is>
      </c>
      <c r="C61" s="2" t="n">
        <v>2</v>
      </c>
      <c r="D61" s="2" t="inlineStr">
        <is>
          <t>Mercedes De Nicolás</t>
        </is>
      </c>
      <c r="E61" s="2" t="inlineStr">
        <is>
          <t>Psicoanálisis</t>
        </is>
      </c>
      <c r="F61" s="2" t="inlineStr">
        <is>
          <t>Palermo, CABA</t>
        </is>
      </c>
      <c r="G61" s="2" t="inlineStr"/>
      <c r="H61" s="2" t="inlineStr"/>
      <c r="I61" s="2" t="inlineStr"/>
      <c r="J61" s="2" t="inlineStr">
        <is>
          <t>https://psicologosbuenosaires.com/mercedes-de-nicolas-psicologa-psicoanalista-297</t>
        </is>
      </c>
      <c r="K61" s="2" t="inlineStr">
        <is>
          <t>Gurruchaga 2100.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n">
        <v>61</v>
      </c>
      <c r="B62" s="5" t="inlineStr">
        <is>
          <t>🥶 COLD</t>
        </is>
      </c>
      <c r="C62" s="2" t="n">
        <v>2</v>
      </c>
      <c r="D62" s="2" t="inlineStr">
        <is>
          <t>Lic. Vanesa Birri</t>
        </is>
      </c>
      <c r="E62" s="2" t="inlineStr">
        <is>
          <t>Nutricionista</t>
        </is>
      </c>
      <c r="F62" s="2" t="inlineStr">
        <is>
          <t>Córdoba Capital</t>
        </is>
      </c>
      <c r="G62" s="2" t="inlineStr"/>
      <c r="H62" s="2" t="inlineStr"/>
      <c r="I62" s="2" t="inlineStr"/>
      <c r="J62" s="2" t="inlineStr">
        <is>
          <t>http://www.nutricionistaencordoba.com/</t>
        </is>
      </c>
      <c r="K62" s="2" t="inlineStr">
        <is>
          <t>Bv. San Juan 340. OSDE/SANCOR.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</row>
  </sheetData>
  <autoFilter ref="A1:S1"/>
  <conditionalFormatting sqref="R2:R62">
    <cfRule type="cellIs" priority="1" operator="equal" dxfId="0">
      <formula>"Sí"</formula>
    </cfRule>
    <cfRule type="cellIs" priority="2" operator="equal" dxfId="1">
      <formula>"No"</formula>
    </cfRule>
    <cfRule type="cellIs" priority="3" operator="equal" dxfId="2">
      <formula>"Lo piensa"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📊 LUMIO CRM — DASHBOARD</t>
        </is>
      </c>
    </row>
    <row r="2">
      <c r="A2" s="7" t="inlineStr">
        <is>
          <t>Total leads</t>
        </is>
      </c>
      <c r="B2" s="8">
        <f>COUNTA(Prospectos!D:D)-1</f>
        <v/>
      </c>
    </row>
    <row r="3">
      <c r="A3" s="7" t="inlineStr">
        <is>
          <t>Llamadas realizadas</t>
        </is>
      </c>
      <c r="B3" s="8">
        <f>COUNTA(Prospectos!L:L)-1</f>
        <v/>
      </c>
    </row>
    <row r="4">
      <c r="A4" s="7" t="inlineStr">
        <is>
          <t>Demos enviadas</t>
        </is>
      </c>
      <c r="B4" s="8">
        <f>COUNTA(Prospectos!N:N)-1</f>
        <v/>
      </c>
    </row>
    <row r="5">
      <c r="A5" s="7" t="inlineStr">
        <is>
          <t>Cerrados 💰</t>
        </is>
      </c>
      <c r="B5" s="8">
        <f>COUNTIF(Prospectos!R:R,"Sí")</f>
        <v/>
      </c>
    </row>
    <row r="6">
      <c r="A6" s="7" t="inlineStr">
        <is>
          <t>Tasa demo</t>
        </is>
      </c>
      <c r="B6" s="9">
        <f>IFERROR(B4/B3,0)</f>
        <v/>
      </c>
    </row>
    <row r="7">
      <c r="A7" s="7" t="inlineStr">
        <is>
          <t>Tasa cierre</t>
        </is>
      </c>
      <c r="B7" s="9">
        <f>IFERROR(B5/B4,0)</f>
        <v/>
      </c>
    </row>
    <row r="8">
      <c r="A8" s="7" t="inlineStr">
        <is>
          <t>Setup cobrado (USD)</t>
        </is>
      </c>
      <c r="B8" s="10">
        <f>B5*200</f>
        <v/>
      </c>
    </row>
    <row r="9">
      <c r="A9" s="7" t="inlineStr">
        <is>
          <t>MRR comprometido</t>
        </is>
      </c>
      <c r="B9" s="10">
        <f>B5*99</f>
        <v/>
      </c>
    </row>
    <row r="11">
      <c r="A11" s="11" t="inlineStr">
        <is>
          <t>— Por Ciudad —</t>
        </is>
      </c>
    </row>
    <row r="12">
      <c r="A12" s="12" t="inlineStr">
        <is>
          <t>Palermo, CABA</t>
        </is>
      </c>
      <c r="B12" s="13">
        <f>COUNTIF(Prospectos!F:F,"*Palermo*")</f>
        <v/>
      </c>
    </row>
    <row r="13">
      <c r="A13" s="12" t="inlineStr">
        <is>
          <t>Recoleta, CABA</t>
        </is>
      </c>
      <c r="B13" s="13">
        <f>COUNTIF(Prospectos!F:F,"*Recoleta*")</f>
        <v/>
      </c>
    </row>
    <row r="14">
      <c r="A14" s="12" t="inlineStr">
        <is>
          <t>Belgrano, CABA</t>
        </is>
      </c>
      <c r="B14" s="13">
        <f>COUNTIF(Prospectos!F:F,"*Belgrano*")</f>
        <v/>
      </c>
    </row>
    <row r="15">
      <c r="A15" s="12" t="inlineStr">
        <is>
          <t>Córdoba Capital</t>
        </is>
      </c>
      <c r="B15" s="13">
        <f>COUNTIF(Prospectos!F:F,"*Córdoba Capital*")</f>
        <v/>
      </c>
    </row>
    <row r="16">
      <c r="A16" s="12" t="inlineStr">
        <is>
          <t>Nueva Córdoba</t>
        </is>
      </c>
      <c r="B16" s="13">
        <f>COUNTIF(Prospectos!F:F,"*Nueva Córdoba*")</f>
        <v/>
      </c>
    </row>
    <row r="17">
      <c r="A17" s="12" t="inlineStr">
        <is>
          <t>Cerro de las Rosas, CBA</t>
        </is>
      </c>
      <c r="B17" s="13">
        <f>COUNTIF(Prospectos!F:F,"*Cerro de las Rosas*")</f>
        <v/>
      </c>
    </row>
    <row r="19">
      <c r="A19" s="11" t="inlineStr">
        <is>
          <t>— Por Prioridad —</t>
        </is>
      </c>
    </row>
    <row r="20">
      <c r="A20" s="12" t="inlineStr">
        <is>
          <t>🔥 HOT</t>
        </is>
      </c>
      <c r="B20" s="13">
        <f>COUNTIF(Prospectos!B:B,"*HOT*")</f>
        <v/>
      </c>
    </row>
    <row r="21">
      <c r="A21" s="12" t="inlineStr">
        <is>
          <t>⚡ WARM</t>
        </is>
      </c>
      <c r="B21" s="13">
        <f>COUNTIF(Prospectos!B:B,"*WARM*")</f>
        <v/>
      </c>
    </row>
    <row r="22">
      <c r="A22" s="12" t="inlineStr">
        <is>
          <t>🥶 COLD</t>
        </is>
      </c>
      <c r="B22" s="13">
        <f>COUNTIF(Prospectos!B:B,"*COLD*")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4" t="inlineStr">
        <is>
          <t>📞 GUION LLAMADA 1 (memorizar)</t>
        </is>
      </c>
    </row>
    <row r="2" ht="20" customHeight="1">
      <c r="A2" s="15" t="inlineStr"/>
    </row>
    <row r="3" ht="28" customHeight="1">
      <c r="A3" s="16" t="inlineStr">
        <is>
          <t>APERTURA (8 seg):</t>
        </is>
      </c>
    </row>
    <row r="4" ht="28" customHeight="1">
      <c r="A4" s="15" t="inlineStr">
        <is>
          <t>"Hola, ¿hablo con [consultorio]? Soy Fran de Lumio. Te robo 30 segundos y si no te interesa cortamos sin problema, ¿va?"</t>
        </is>
      </c>
    </row>
    <row r="5" ht="20" customHeight="1">
      <c r="A5" s="15" t="inlineStr"/>
    </row>
    <row r="6" ht="28" customHeight="1">
      <c r="A6" s="16" t="inlineStr">
        <is>
          <t>GANCHO (15 seg):</t>
        </is>
      </c>
    </row>
    <row r="7" ht="28" customHeight="1">
      <c r="A7" s="15" t="inlineStr">
        <is>
          <t>"Trabajamos con consultorios de psicología en Argentina automatizando atención por WhatsApp con IA. El bot toma turnos, confirma sesiones y reduce ausencias 50%. ¿Hoy en tu consultorio, quién responde los WhatsApp?"</t>
        </is>
      </c>
    </row>
    <row r="8" ht="20" customHeight="1">
      <c r="A8" s="15" t="inlineStr"/>
    </row>
    <row r="9" ht="28" customHeight="1">
      <c r="A9" s="16" t="inlineStr">
        <is>
          <t>PIVOT a demo:</t>
        </is>
      </c>
    </row>
    <row r="10" ht="28" customHeight="1">
      <c r="A10" s="15" t="inlineStr">
        <is>
          <t>"Mirá, lo mejor es que lo veas funcionando. Te paso un asistente en vivo para que lo pruebes como paciente. ¿A qué número te lo mando?"</t>
        </is>
      </c>
    </row>
    <row r="11" ht="20" customHeight="1">
      <c r="A11" s="15" t="inlineStr"/>
    </row>
    <row r="12" ht="28" customHeight="1">
      <c r="A12" s="15" t="inlineStr">
        <is>
          <t>────────────────────────────────────────────────────────────</t>
        </is>
      </c>
    </row>
    <row r="13" ht="28" customHeight="1">
      <c r="A13" s="17" t="inlineStr">
        <is>
          <t>📲 MENSAJE POST-LLAMADA (copiar y pegar)</t>
        </is>
      </c>
    </row>
    <row r="14" ht="20" customHeight="1">
      <c r="A14" s="15" t="inlineStr"/>
    </row>
    <row r="15" ht="28" customHeight="1">
      <c r="A15" s="15" t="inlineStr">
        <is>
          <t>Hola [NOMBRE]! Soy Fran de Lumio, hablamos recién.</t>
        </is>
      </c>
    </row>
    <row r="16" ht="28" customHeight="1">
      <c r="A16" s="15" t="inlineStr">
        <is>
          <t>Acá te dejo el asistente para que lo pruebes como paciente.</t>
        </is>
      </c>
    </row>
    <row r="17" ht="28" customHeight="1">
      <c r="A17" s="18" t="inlineStr">
        <is>
          <t>📲 3535109880</t>
        </is>
      </c>
    </row>
    <row r="18" ht="28" customHeight="1">
      <c r="A18" s="15" t="inlineStr">
        <is>
          <t>Probá pedirle turno, preguntarle precios, obras sociales — lo que harías como paciente.</t>
        </is>
      </c>
    </row>
    <row r="19" ht="28" customHeight="1">
      <c r="A19" s="15" t="inlineStr">
        <is>
          <t>Cuando armemos el tuyo va a tener TU nombre, TUS servicios y TUS precios.</t>
        </is>
      </c>
    </row>
    <row r="20" ht="28" customHeight="1">
      <c r="A20" s="15" t="inlineStr">
        <is>
          <t>Cualquier cosa me avisás!</t>
        </is>
      </c>
    </row>
    <row r="21" ht="20" customHeight="1">
      <c r="A21" s="15" t="inlineStr"/>
    </row>
    <row r="22" ht="28" customHeight="1">
      <c r="A22" s="15" t="inlineStr">
        <is>
          <t>────────────────────────────────────────────────────────────</t>
        </is>
      </c>
    </row>
    <row r="23" ht="28" customHeight="1">
      <c r="A23" s="17" t="inlineStr">
        <is>
          <t>🔁 MENSAJE TANTEO 48HS (si no responde)</t>
        </is>
      </c>
    </row>
    <row r="24" ht="20" customHeight="1">
      <c r="A24" s="15" t="inlineStr"/>
    </row>
    <row r="25" ht="28" customHeight="1">
      <c r="A25" s="15" t="inlineStr">
        <is>
          <t>[NOMBRE]! ¿Pudiste probar el asistente?</t>
        </is>
      </c>
    </row>
    <row r="26" ht="28" customHeight="1">
      <c r="A26" s="15" t="inlineStr">
        <is>
          <t>Tip: probalo de noche o un sábado — es justo el horario en que más mensajes recibís y no podés responder.</t>
        </is>
      </c>
    </row>
    <row r="27" ht="28" customHeight="1">
      <c r="A27" s="15" t="inlineStr">
        <is>
          <t>Cualquier cosa me decís!</t>
        </is>
      </c>
    </row>
    <row r="28" ht="20" customHeight="1">
      <c r="A28" s="15" t="inlineStr"/>
    </row>
    <row r="29" ht="28" customHeight="1">
      <c r="A29" s="15" t="inlineStr">
        <is>
          <t>────────────────────────────────────────────────────────────</t>
        </is>
      </c>
    </row>
    <row r="30" ht="28" customHeight="1">
      <c r="A30" s="17" t="inlineStr">
        <is>
          <t>🚨 MANEJO DE OBJECIONES</t>
        </is>
      </c>
    </row>
    <row r="31" ht="20" customHeight="1">
      <c r="A31" s="15" t="inlineStr"/>
    </row>
    <row r="32" ht="28" customHeight="1">
      <c r="A32" s="15" t="inlineStr">
        <is>
          <t>"¿Cuánto sale?" → "Arranca en USD 99/mes con setup único. Pero antes de hablar precios, probá el bot. Si no te genera valor, el precio es irrelevante."</t>
        </is>
      </c>
    </row>
    <row r="33" ht="20" customHeight="1">
      <c r="A33" s="15" t="inlineStr"/>
    </row>
    <row r="34" ht="28" customHeight="1">
      <c r="A34" s="15" t="inlineStr">
        <is>
          <t>"No me interesa" → "Entiendo. Una pregunta: ¿es porque ya tenés un sistema, o porque hoy no es prioridad?"</t>
        </is>
      </c>
    </row>
    <row r="35" ht="20" customHeight="1">
      <c r="A35" s="15" t="inlineStr"/>
    </row>
    <row r="36" ht="28" customHeight="1">
      <c r="A36" s="15" t="inlineStr">
        <is>
          <t>"Ya tengo Doctoralia" → "Eso te facilita. Pero Doctoralia no te atiende los WhatsApp ni confirma sesiones. ¿Cuántos pacientes te faltan sin avisar por semana?"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9" t="inlineStr">
        <is>
          <t>Fecha</t>
        </is>
      </c>
      <c r="B1" s="19" t="inlineStr">
        <is>
          <t>Llamadas marcadas</t>
        </is>
      </c>
      <c r="C1" s="19" t="inlineStr">
        <is>
          <t>Atendieron</t>
        </is>
      </c>
      <c r="D1" s="19" t="inlineStr">
        <is>
          <t>Aceptaron demo</t>
        </is>
      </c>
      <c r="E1" s="19" t="inlineStr">
        <is>
          <t>Demos enviadas</t>
        </is>
      </c>
      <c r="F1" s="19" t="inlineStr">
        <is>
          <t>Llamada 2 hecha</t>
        </is>
      </c>
      <c r="G1" s="19" t="inlineStr">
        <is>
          <t>Cerrados</t>
        </is>
      </c>
      <c r="H1" s="19" t="inlineStr">
        <is>
          <t>Notas día</t>
        </is>
      </c>
    </row>
    <row r="2">
      <c r="A2" s="20" t="n">
        <v>46153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0" t="n">
        <v>46154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0" t="n">
        <v>46155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0" t="n">
        <v>46156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0" t="n">
        <v>46157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0" t="n">
        <v>46158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0" t="n">
        <v>46159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0" t="n">
        <v>46160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0" t="n">
        <v>46161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0" t="n">
        <v>46162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0" t="n">
        <v>46163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0" t="n">
        <v>46164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0" t="n">
        <v>46165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0" t="n">
        <v>46166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7">
      <c r="A17" s="21" t="inlineStr">
        <is>
          <t>TOTALES</t>
        </is>
      </c>
      <c r="B17" s="21">
        <f>SUM(B2:B15)</f>
        <v/>
      </c>
      <c r="C17" s="21">
        <f>SUM(C2:C15)</f>
        <v/>
      </c>
      <c r="D17" s="21">
        <f>SUM(D2:D15)</f>
        <v/>
      </c>
      <c r="E17" s="21">
        <f>SUM(E2:E15)</f>
        <v/>
      </c>
      <c r="F17" s="21">
        <f>SUM(F2:F15)</f>
        <v/>
      </c>
      <c r="G17" s="21">
        <f>SUM(G2:G15)</f>
        <v/>
      </c>
    </row>
    <row r="18">
      <c r="A18" s="22" t="inlineStr">
        <is>
          <t>Tasas</t>
        </is>
      </c>
      <c r="C18" s="23">
        <f>IFERROR(C17/B17,0)</f>
        <v/>
      </c>
      <c r="D18" s="23">
        <f>IFERROR(D17/C17,0)</f>
        <v/>
      </c>
      <c r="E18" s="23">
        <f>IFERROR(E17/D17,0)</f>
        <v/>
      </c>
      <c r="G18" s="23">
        <f>IFERROR(G17/E17,0)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14" t="inlineStr">
        <is>
          <t>📚 CÓMO CRECER ESTE CRM DESDE EL CELU</t>
        </is>
      </c>
    </row>
    <row r="2" ht="22" customHeight="1">
      <c r="A2" s="15" t="inlineStr"/>
    </row>
    <row r="3" ht="22" customHeight="1">
      <c r="A3" s="15" t="inlineStr">
        <is>
          <t>LISTA INICIAL: ~60 leads sembrados automáticamente.</t>
        </is>
      </c>
    </row>
    <row r="4" ht="22" customHeight="1">
      <c r="A4" s="15" t="inlineStr">
        <is>
          <t>META: llegar a 300 leads en 1 semana.</t>
        </is>
      </c>
    </row>
    <row r="5" ht="22" customHeight="1">
      <c r="A5" s="15" t="inlineStr"/>
    </row>
    <row r="6" ht="22" customHeight="1">
      <c r="A6" s="24" t="inlineStr">
        <is>
          <t>CÓMO AGREGAR LEADS DESDE EL CELU (10 min/día):</t>
        </is>
      </c>
    </row>
    <row r="7" ht="22" customHeight="1">
      <c r="A7" s="15" t="inlineStr"/>
    </row>
    <row r="8" ht="22" customHeight="1">
      <c r="A8" s="15" t="inlineStr">
        <is>
          <t>1. Abrí Instagram</t>
        </is>
      </c>
    </row>
    <row r="9" ht="22" customHeight="1">
      <c r="A9" s="15" t="inlineStr">
        <is>
          <t>2. Buscá hashtags: #psicologapalermo #psicologacordoba #nutricionistabuenosaires #psicologabsas</t>
        </is>
      </c>
    </row>
    <row r="10" ht="22" customHeight="1">
      <c r="A10" s="15" t="inlineStr">
        <is>
          <t>3. Por cada perfil interesante:</t>
        </is>
      </c>
    </row>
    <row r="11" ht="22" customHeight="1">
      <c r="A11" s="15" t="inlineStr">
        <is>
          <t xml:space="preserve">   • Copiá el @ del IG</t>
        </is>
      </c>
    </row>
    <row r="12" ht="22" customHeight="1">
      <c r="A12" s="15" t="inlineStr">
        <is>
          <t xml:space="preserve">   • Mirá si tiene WhatsApp en bio (anotá número)</t>
        </is>
      </c>
    </row>
    <row r="13" ht="22" customHeight="1">
      <c r="A13" s="15" t="inlineStr">
        <is>
          <t xml:space="preserve">   • Agregá UNA FILA al final de la hoja Prospectos</t>
        </is>
      </c>
    </row>
    <row r="14" ht="22" customHeight="1">
      <c r="A14" s="15" t="inlineStr">
        <is>
          <t xml:space="preserve">   • Mínimo: nombre + IG + ciudad</t>
        </is>
      </c>
    </row>
    <row r="15" ht="22" customHeight="1">
      <c r="A15" s="15" t="inlineStr">
        <is>
          <t>4. 10 perfiles por día = 70 nuevos leads/semana</t>
        </is>
      </c>
    </row>
    <row r="16" ht="22" customHeight="1">
      <c r="A16" s="15" t="inlineStr"/>
    </row>
    <row r="17" ht="22" customHeight="1">
      <c r="A17" s="24" t="inlineStr">
        <is>
          <t>FUENTES PARA SEGUIR LLENANDO:</t>
        </is>
      </c>
    </row>
    <row r="18" ht="22" customHeight="1">
      <c r="A18" s="15" t="inlineStr">
        <is>
          <t>• doctoraliar.com/psicologo/[barrio]</t>
        </is>
      </c>
    </row>
    <row r="19" ht="22" customHeight="1">
      <c r="A19" s="15" t="inlineStr">
        <is>
          <t>• mundopsicologos.com.ar/centros/[barrio]</t>
        </is>
      </c>
    </row>
    <row r="20" ht="22" customHeight="1">
      <c r="A20" s="15" t="inlineStr">
        <is>
          <t>• Instagram (hashtags + ubicación)</t>
        </is>
      </c>
    </row>
    <row r="21" ht="22" customHeight="1">
      <c r="A21" s="15" t="inlineStr">
        <is>
          <t>• Google Maps: "psicólogo [barrio]"</t>
        </is>
      </c>
    </row>
    <row r="22" ht="22" customHeight="1">
      <c r="A22" s="15" t="inlineStr">
        <is>
          <t>• Colegio de Psicólogos de Córdoba (cppc.org.ar — matriculados públicos)</t>
        </is>
      </c>
    </row>
    <row r="23" ht="22" customHeight="1">
      <c r="A23" s="15" t="inlineStr">
        <is>
          <t>• psicologosbuenosaires.com/[barrio]</t>
        </is>
      </c>
    </row>
    <row r="24" ht="22" customHeight="1">
      <c r="A24" s="15" t="inlineStr"/>
    </row>
    <row r="25" ht="22" customHeight="1">
      <c r="A25" s="24" t="inlineStr">
        <is>
          <t>CRITERIO DE BUEN LEAD:</t>
        </is>
      </c>
    </row>
    <row r="26" ht="22" customHeight="1">
      <c r="A26" s="15" t="inlineStr">
        <is>
          <t>✅ Tiene teléfono o IG con WhatsApp</t>
        </is>
      </c>
    </row>
    <row r="27" ht="22" customHeight="1">
      <c r="A27" s="15" t="inlineStr">
        <is>
          <t>✅ Consultorio activo (posts recientes, reseñas)</t>
        </is>
      </c>
    </row>
    <row r="28" ht="22" customHeight="1">
      <c r="A28" s="15" t="inlineStr">
        <is>
          <t>✅ Especialidad clínica (no demasiado nicho infantil)</t>
        </is>
      </c>
    </row>
    <row r="29" ht="22" customHeight="1">
      <c r="A29" s="15" t="inlineStr">
        <is>
          <t>✅ Precio sesión USD 25-50 (sweet spot del bot)</t>
        </is>
      </c>
    </row>
    <row r="30" ht="22" customHeight="1">
      <c r="A30" s="15" t="inlineStr"/>
    </row>
    <row r="31" ht="22" customHeight="1">
      <c r="A31" s="24" t="inlineStr">
        <is>
          <t>SCRIPT RÁPIDO PARA LLENAR FILA (copiar en notas del celu):</t>
        </is>
      </c>
    </row>
    <row r="32" ht="22" customHeight="1">
      <c r="A32" s="15" t="inlineStr">
        <is>
          <t>Nombre | Esp | Ciudad | Tel | IG | URL | Notas</t>
        </is>
      </c>
    </row>
    <row r="33" ht="22" customHeight="1">
      <c r="A33" s="15" t="inlineStr">
        <is>
          <t>Score: +3 tel, +2 URL, +2 Doctoralia/MundoPsi, +2 online/particular, +1 TCC/clínica</t>
        </is>
      </c>
    </row>
    <row r="34" ht="22" customHeight="1">
      <c r="A34" s="15" t="inlineStr">
        <is>
          <t>HOT ≥8 | WARM 5-7 | COLD &lt;5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2026-05-10T19:15:01Z</dcterms:created>
  <dcterms:modified xsi:type="dcterms:W3CDTF">2026-05-10T19:15:01Z</dcterms:modified>
</cp:coreProperties>
</file>